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972/Desktop/DISEÑO/"/>
    </mc:Choice>
  </mc:AlternateContent>
  <xr:revisionPtr revIDLastSave="0" documentId="13_ncr:1_{0351B366-057C-964A-95A0-F880B5DEDFEE}" xr6:coauthVersionLast="47" xr6:coauthVersionMax="47" xr10:uidLastSave="{00000000-0000-0000-0000-000000000000}"/>
  <bookViews>
    <workbookView xWindow="760" yWindow="600" windowWidth="16180" windowHeight="16080" xr2:uid="{2B2FAF53-AEE3-5749-91BB-F7EABD1507BA}"/>
  </bookViews>
  <sheets>
    <sheet name="Hoja1" sheetId="1" r:id="rId1"/>
  </sheets>
  <definedNames>
    <definedName name="_xlnm.Print_Area" localSheetId="0">Hoja1!$O$13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3" i="1" l="1"/>
</calcChain>
</file>

<file path=xl/sharedStrings.xml><?xml version="1.0" encoding="utf-8"?>
<sst xmlns="http://schemas.openxmlformats.org/spreadsheetml/2006/main" count="58" uniqueCount="47">
  <si>
    <t>BILL OF MATERIALS (BOM)</t>
  </si>
  <si>
    <t xml:space="preserve">Proyecto: </t>
  </si>
  <si>
    <t>Sensor IoT de Humedad y Temperatura del Suelo</t>
  </si>
  <si>
    <t>Versión:</t>
  </si>
  <si>
    <t>1.0</t>
  </si>
  <si>
    <t>Fecha:</t>
  </si>
  <si>
    <t xml:space="preserve">Curso: </t>
  </si>
  <si>
    <t xml:space="preserve">Institución: </t>
  </si>
  <si>
    <t>Universidad Adolfo Ibañez</t>
  </si>
  <si>
    <t xml:space="preserve">Docente: </t>
  </si>
  <si>
    <t>Sebastián Duarte</t>
  </si>
  <si>
    <t xml:space="preserve">Responsables: </t>
  </si>
  <si>
    <t>25 de junio de 2026</t>
  </si>
  <si>
    <t>Taller de Diseño en Ingeniería, Sección 2</t>
  </si>
  <si>
    <t>Ítem</t>
  </si>
  <si>
    <t>Componente</t>
  </si>
  <si>
    <t>Especificación</t>
  </si>
  <si>
    <t>Cantidad</t>
  </si>
  <si>
    <t>Costo unitario (CLP)</t>
  </si>
  <si>
    <t>Costo total (CLP)</t>
  </si>
  <si>
    <t>ESP32</t>
  </si>
  <si>
    <t>Microcontrolador con WiFi y Bluetooth, alimentación 3.3 V</t>
  </si>
  <si>
    <t>Sensor de humedad de suelo</t>
  </si>
  <si>
    <t>Sensor capacitivo v1.2, alimentación 3.3–5.0 V, salida analógica</t>
  </si>
  <si>
    <t>Sensor de temperatura</t>
  </si>
  <si>
    <t>Módulo de alimentación</t>
  </si>
  <si>
    <t>Resistencia</t>
  </si>
  <si>
    <t>DS18B20, alimentación 3.0–5.5 V, rango −55 °C a 125 °C</t>
  </si>
  <si>
    <t>PAW-68, batería/cargador portátil, voltaje nominal 3.7 V</t>
  </si>
  <si>
    <t>4.7 kΩ (4700 Ω), 1/4 W, ±5 %</t>
  </si>
  <si>
    <t>Cable USB</t>
  </si>
  <si>
    <t>USB-A a USB-C para alimentación y programación</t>
  </si>
  <si>
    <t>Ramírez V.,   Bravo S.,   García J.,    Jaque D.</t>
  </si>
  <si>
    <t>Cable de conexión macho-hembra</t>
  </si>
  <si>
    <t>Cable Dupont</t>
  </si>
  <si>
    <t>TOTAL</t>
  </si>
  <si>
    <t>Fabricante</t>
  </si>
  <si>
    <t>Espressif</t>
  </si>
  <si>
    <t>DFRobot</t>
  </si>
  <si>
    <t>Maxim Integrated</t>
  </si>
  <si>
    <t>No aplica</t>
  </si>
  <si>
    <t>Código / SKU</t>
  </si>
  <si>
    <t>SEN0193</t>
  </si>
  <si>
    <t>DS18B20</t>
  </si>
  <si>
    <t>PAW-68</t>
  </si>
  <si>
    <t>Proveedor</t>
  </si>
  <si>
    <t>Universidad Adolfo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</si>
</sst>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Cuerpo)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2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2" fontId="2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4C2D-DFC7-DB48-9AC2-7E4FB5627191}">
  <dimension ref="B5:P16"/>
  <sheetViews>
    <sheetView tabSelected="1" topLeftCell="B1" zoomScale="75" workbookViewId="0">
      <selection activeCell="N1" sqref="N1:N1048576"/>
    </sheetView>
  </sheetViews>
  <sheetFormatPr baseColWidth="10" defaultRowHeight="16" x14ac:dyDescent="0.2"/>
  <cols>
    <col min="2" max="2" width="13.1640625" bestFit="1" customWidth="1"/>
    <col min="3" max="3" width="11.6640625" bestFit="1" customWidth="1"/>
    <col min="4" max="4" width="12.83203125" bestFit="1" customWidth="1"/>
    <col min="5" max="5" width="8.6640625" bestFit="1" customWidth="1"/>
    <col min="6" max="6" width="10" customWidth="1"/>
    <col min="7" max="7" width="6.1640625" customWidth="1"/>
    <col min="8" max="8" width="5" bestFit="1" customWidth="1"/>
    <col min="9" max="9" width="26.33203125" bestFit="1" customWidth="1"/>
    <col min="10" max="12" width="26.33203125" customWidth="1"/>
    <col min="13" max="13" width="31" bestFit="1" customWidth="1"/>
    <col min="14" max="14" width="8.6640625" bestFit="1" customWidth="1"/>
    <col min="15" max="15" width="18.1640625" bestFit="1" customWidth="1"/>
    <col min="16" max="16" width="15.5" bestFit="1" customWidth="1"/>
  </cols>
  <sheetData>
    <row r="5" spans="2:16" ht="19" x14ac:dyDescent="0.25">
      <c r="B5" s="15" t="s">
        <v>0</v>
      </c>
      <c r="C5" s="15"/>
      <c r="D5" s="15"/>
      <c r="E5" s="15"/>
      <c r="F5" s="15"/>
      <c r="G5" s="12"/>
      <c r="H5" s="6" t="s">
        <v>14</v>
      </c>
      <c r="I5" s="6" t="s">
        <v>15</v>
      </c>
      <c r="J5" s="6" t="s">
        <v>36</v>
      </c>
      <c r="K5" s="6" t="s">
        <v>41</v>
      </c>
      <c r="L5" s="6" t="s">
        <v>45</v>
      </c>
      <c r="M5" s="6" t="s">
        <v>16</v>
      </c>
      <c r="N5" s="6" t="s">
        <v>17</v>
      </c>
      <c r="O5" s="6" t="s">
        <v>18</v>
      </c>
      <c r="P5" s="6" t="s">
        <v>19</v>
      </c>
    </row>
    <row r="6" spans="2:16" ht="34" x14ac:dyDescent="0.2">
      <c r="B6" s="10" t="s">
        <v>1</v>
      </c>
      <c r="C6" s="13" t="s">
        <v>2</v>
      </c>
      <c r="D6" s="13"/>
      <c r="E6" s="13"/>
      <c r="F6" s="13"/>
      <c r="G6" s="12"/>
      <c r="H6" s="7">
        <v>1</v>
      </c>
      <c r="I6" s="7" t="s">
        <v>20</v>
      </c>
      <c r="J6" s="7" t="s">
        <v>37</v>
      </c>
      <c r="K6" s="7"/>
      <c r="L6" s="7" t="s">
        <v>46</v>
      </c>
      <c r="M6" s="8" t="s">
        <v>21</v>
      </c>
      <c r="N6" s="7">
        <v>1</v>
      </c>
      <c r="O6" s="9">
        <v>8000</v>
      </c>
      <c r="P6" s="9">
        <v>8000</v>
      </c>
    </row>
    <row r="7" spans="2:16" ht="31" customHeight="1" x14ac:dyDescent="0.2">
      <c r="B7" s="10" t="s">
        <v>3</v>
      </c>
      <c r="C7" s="13" t="s">
        <v>4</v>
      </c>
      <c r="D7" s="13"/>
      <c r="E7" s="13"/>
      <c r="F7" s="13"/>
      <c r="G7" s="12"/>
      <c r="H7" s="7">
        <v>2</v>
      </c>
      <c r="I7" s="8" t="s">
        <v>22</v>
      </c>
      <c r="J7" s="8" t="s">
        <v>38</v>
      </c>
      <c r="K7" s="8" t="s">
        <v>42</v>
      </c>
      <c r="L7" s="7" t="s">
        <v>46</v>
      </c>
      <c r="M7" s="8" t="s">
        <v>23</v>
      </c>
      <c r="N7" s="7">
        <v>1</v>
      </c>
      <c r="O7" s="9">
        <v>2776</v>
      </c>
      <c r="P7" s="9">
        <v>2776</v>
      </c>
    </row>
    <row r="8" spans="2:16" ht="34" customHeight="1" x14ac:dyDescent="0.2">
      <c r="B8" s="10" t="s">
        <v>5</v>
      </c>
      <c r="C8" s="14" t="s">
        <v>12</v>
      </c>
      <c r="D8" s="14"/>
      <c r="E8" s="14"/>
      <c r="F8" s="14"/>
      <c r="G8" s="12"/>
      <c r="H8" s="7">
        <v>3</v>
      </c>
      <c r="I8" s="7" t="s">
        <v>24</v>
      </c>
      <c r="J8" s="7" t="s">
        <v>39</v>
      </c>
      <c r="K8" s="7" t="s">
        <v>43</v>
      </c>
      <c r="L8" s="7" t="s">
        <v>46</v>
      </c>
      <c r="M8" s="8" t="s">
        <v>27</v>
      </c>
      <c r="N8" s="7">
        <v>1</v>
      </c>
      <c r="O8" s="9">
        <v>2500</v>
      </c>
      <c r="P8" s="9">
        <v>2500</v>
      </c>
    </row>
    <row r="9" spans="2:16" ht="34" x14ac:dyDescent="0.2">
      <c r="B9" s="10" t="s">
        <v>6</v>
      </c>
      <c r="C9" s="13" t="s">
        <v>13</v>
      </c>
      <c r="D9" s="13"/>
      <c r="E9" s="13"/>
      <c r="F9" s="13"/>
      <c r="G9" s="12"/>
      <c r="H9" s="7">
        <v>4</v>
      </c>
      <c r="I9" s="7" t="s">
        <v>25</v>
      </c>
      <c r="J9" s="7"/>
      <c r="K9" s="7" t="s">
        <v>44</v>
      </c>
      <c r="L9" s="7" t="s">
        <v>46</v>
      </c>
      <c r="M9" s="8" t="s">
        <v>28</v>
      </c>
      <c r="N9" s="7">
        <v>1</v>
      </c>
      <c r="O9" s="9">
        <v>7990</v>
      </c>
      <c r="P9" s="9">
        <v>7990</v>
      </c>
    </row>
    <row r="10" spans="2:16" ht="29" customHeight="1" x14ac:dyDescent="0.2">
      <c r="B10" s="10" t="s">
        <v>7</v>
      </c>
      <c r="C10" s="13" t="s">
        <v>8</v>
      </c>
      <c r="D10" s="13"/>
      <c r="E10" s="13"/>
      <c r="F10" s="13"/>
      <c r="G10" s="12"/>
      <c r="H10" s="7">
        <v>5</v>
      </c>
      <c r="I10" s="7" t="s">
        <v>26</v>
      </c>
      <c r="J10" s="7" t="s">
        <v>40</v>
      </c>
      <c r="K10" s="7" t="s">
        <v>40</v>
      </c>
      <c r="L10" s="7" t="s">
        <v>46</v>
      </c>
      <c r="M10" s="8" t="s">
        <v>29</v>
      </c>
      <c r="N10" s="7">
        <v>1</v>
      </c>
      <c r="O10" s="9">
        <v>1098</v>
      </c>
      <c r="P10" s="9">
        <v>1098</v>
      </c>
    </row>
    <row r="11" spans="2:16" ht="35" customHeight="1" x14ac:dyDescent="0.2">
      <c r="B11" s="10" t="s">
        <v>9</v>
      </c>
      <c r="C11" s="13" t="s">
        <v>10</v>
      </c>
      <c r="D11" s="13"/>
      <c r="E11" s="13"/>
      <c r="F11" s="13"/>
      <c r="G11" s="12"/>
      <c r="H11" s="7">
        <v>6</v>
      </c>
      <c r="I11" s="8" t="s">
        <v>30</v>
      </c>
      <c r="J11" s="8" t="s">
        <v>40</v>
      </c>
      <c r="K11" s="8" t="s">
        <v>40</v>
      </c>
      <c r="L11" s="7" t="s">
        <v>46</v>
      </c>
      <c r="M11" s="8" t="s">
        <v>31</v>
      </c>
      <c r="N11" s="7">
        <v>1</v>
      </c>
      <c r="O11" s="9">
        <v>1000</v>
      </c>
      <c r="P11" s="9">
        <v>1000</v>
      </c>
    </row>
    <row r="12" spans="2:16" ht="30" customHeight="1" x14ac:dyDescent="0.2">
      <c r="B12" s="10" t="s">
        <v>11</v>
      </c>
      <c r="C12" s="13" t="s">
        <v>32</v>
      </c>
      <c r="D12" s="13"/>
      <c r="E12" s="13"/>
      <c r="F12" s="13"/>
      <c r="G12" s="12"/>
      <c r="H12" s="7">
        <v>7</v>
      </c>
      <c r="I12" s="7" t="s">
        <v>34</v>
      </c>
      <c r="J12" s="7" t="s">
        <v>40</v>
      </c>
      <c r="K12" s="7" t="s">
        <v>40</v>
      </c>
      <c r="L12" s="7" t="s">
        <v>46</v>
      </c>
      <c r="M12" s="7" t="s">
        <v>33</v>
      </c>
      <c r="N12" s="7">
        <v>6</v>
      </c>
      <c r="O12" s="9">
        <v>50</v>
      </c>
      <c r="P12" s="9">
        <v>300</v>
      </c>
    </row>
    <row r="13" spans="2:16" ht="30" customHeight="1" x14ac:dyDescent="0.2">
      <c r="B13" s="1"/>
      <c r="C13" s="2"/>
      <c r="D13" s="2"/>
      <c r="E13" s="2"/>
      <c r="F13" s="2"/>
      <c r="H13" s="3"/>
      <c r="I13" s="4"/>
      <c r="J13" s="4"/>
      <c r="K13" s="4"/>
      <c r="L13" s="4"/>
      <c r="N13" s="3"/>
      <c r="O13" s="11" t="s">
        <v>35</v>
      </c>
      <c r="P13" s="9">
        <f>SUM(P6:P12)</f>
        <v>23664</v>
      </c>
    </row>
    <row r="14" spans="2:16" ht="30" customHeight="1" x14ac:dyDescent="0.2">
      <c r="H14" s="3"/>
      <c r="I14" s="3"/>
      <c r="J14" s="3"/>
      <c r="K14" s="3"/>
      <c r="L14" s="3"/>
      <c r="M14" s="4"/>
      <c r="N14" s="3"/>
      <c r="O14" s="5"/>
      <c r="P14" s="5"/>
    </row>
    <row r="16" spans="2:16" x14ac:dyDescent="0.2">
      <c r="B16" s="1"/>
    </row>
  </sheetData>
  <mergeCells count="9">
    <mergeCell ref="G5:G12"/>
    <mergeCell ref="C6:F6"/>
    <mergeCell ref="C7:F7"/>
    <mergeCell ref="C8:F8"/>
    <mergeCell ref="C9:F9"/>
    <mergeCell ref="C10:F10"/>
    <mergeCell ref="C11:F11"/>
    <mergeCell ref="C12:F12"/>
    <mergeCell ref="B5:F5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andres garcia castro</dc:creator>
  <cp:lastModifiedBy>javier andres garcia castro</cp:lastModifiedBy>
  <cp:lastPrinted>2026-06-22T13:34:56Z</cp:lastPrinted>
  <dcterms:created xsi:type="dcterms:W3CDTF">2026-06-22T12:32:12Z</dcterms:created>
  <dcterms:modified xsi:type="dcterms:W3CDTF">2026-06-24T22:32:14Z</dcterms:modified>
</cp:coreProperties>
</file>